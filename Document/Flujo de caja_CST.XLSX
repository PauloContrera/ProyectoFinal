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uciano\Downloads\Proyecto Final\ANTEPROYECTO\"/>
    </mc:Choice>
  </mc:AlternateContent>
  <xr:revisionPtr revIDLastSave="0" documentId="13_ncr:1_{F99EC7D8-987F-47CD-92A2-214DF04C925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8" i="1"/>
  <c r="E27" i="1"/>
  <c r="E26" i="1"/>
  <c r="E40" i="1"/>
  <c r="E39" i="1"/>
  <c r="E38" i="1"/>
  <c r="E37" i="1"/>
  <c r="E36" i="1"/>
  <c r="C36" i="1"/>
  <c r="C26" i="1"/>
  <c r="D6" i="1"/>
  <c r="D12" i="1" s="1"/>
  <c r="E6" i="1"/>
  <c r="E12" i="1" s="1"/>
  <c r="F6" i="1"/>
  <c r="F12" i="1" s="1"/>
  <c r="G6" i="1"/>
  <c r="G12" i="1" s="1"/>
  <c r="C6" i="1"/>
  <c r="C12" i="1" s="1"/>
  <c r="D36" i="1" l="1"/>
  <c r="C37" i="1" s="1"/>
  <c r="B17" i="1"/>
  <c r="G13" i="1"/>
  <c r="G14" i="1" s="1"/>
  <c r="G17" i="1" s="1"/>
  <c r="K25" i="1" s="1"/>
  <c r="F13" i="1"/>
  <c r="F14" i="1" s="1"/>
  <c r="F17" i="1" s="1"/>
  <c r="K24" i="1" s="1"/>
  <c r="E13" i="1"/>
  <c r="E14" i="1" s="1"/>
  <c r="E17" i="1" s="1"/>
  <c r="K23" i="1" s="1"/>
  <c r="D13" i="1"/>
  <c r="D14" i="1" s="1"/>
  <c r="D17" i="1" s="1"/>
  <c r="K22" i="1" s="1"/>
  <c r="C13" i="1"/>
  <c r="C14" i="1" s="1"/>
  <c r="C17" i="1" s="1"/>
  <c r="K21" i="1" s="1"/>
  <c r="D37" i="1" l="1"/>
  <c r="C38" i="1" s="1"/>
  <c r="K20" i="1"/>
  <c r="K26" i="1"/>
  <c r="D26" i="1"/>
  <c r="D38" i="1" l="1"/>
  <c r="C39" i="1" s="1"/>
  <c r="C27" i="1"/>
  <c r="B21" i="1"/>
  <c r="D39" i="1" l="1"/>
  <c r="C40" i="1" s="1"/>
  <c r="D27" i="1"/>
  <c r="B19" i="1"/>
  <c r="D40" i="1" l="1"/>
  <c r="C41" i="1" s="1"/>
  <c r="C28" i="1"/>
  <c r="D28" i="1" s="1"/>
  <c r="C29" i="1" s="1"/>
  <c r="D29" i="1" s="1"/>
  <c r="C30" i="1" s="1"/>
  <c r="D30" i="1" s="1"/>
  <c r="C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Nelson</author>
  </authors>
  <commentList>
    <comment ref="B2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=IRR(B20:G20)</t>
        </r>
      </text>
    </comment>
  </commentList>
</comments>
</file>

<file path=xl/sharedStrings.xml><?xml version="1.0" encoding="utf-8"?>
<sst xmlns="http://schemas.openxmlformats.org/spreadsheetml/2006/main" count="31" uniqueCount="24">
  <si>
    <t>Flujo de caja</t>
  </si>
  <si>
    <t>Ingresos</t>
  </si>
  <si>
    <t>Utilidad antes de impuestos</t>
  </si>
  <si>
    <t>Utilidad después de impuestos</t>
  </si>
  <si>
    <t>Flujo de caja neto</t>
  </si>
  <si>
    <t>VAN</t>
  </si>
  <si>
    <t>Tasa</t>
  </si>
  <si>
    <t>TIR</t>
  </si>
  <si>
    <t>Caso 2: Cálculo del VAN y TIR</t>
  </si>
  <si>
    <t>Periodo</t>
  </si>
  <si>
    <t>Recuperación de la inversión</t>
  </si>
  <si>
    <t>Saldo Inversión</t>
  </si>
  <si>
    <t>Rent. exigida</t>
  </si>
  <si>
    <t>Impuesto a las ganancias (35%)</t>
  </si>
  <si>
    <t>Costo Variable de Fabricación</t>
  </si>
  <si>
    <t>Servicios Contables y Legales</t>
  </si>
  <si>
    <t>Sueldos</t>
  </si>
  <si>
    <t>Marketing</t>
  </si>
  <si>
    <t>Prototipo</t>
  </si>
  <si>
    <t>Inversión inicial (capital de trabajo)</t>
  </si>
  <si>
    <t>Cant de equipos</t>
  </si>
  <si>
    <t>Servidor y dominio</t>
  </si>
  <si>
    <t>Periodo de recuperación contable de la inversión</t>
  </si>
  <si>
    <t>Periodo de recuperación descontado de la inversión Tasa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</si>
</sst>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USD]\ * #,##0.00_-;\-[$USD]\ * #,##0.00_-;_-[$USD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44" fontId="0" fillId="0" borderId="0" xfId="1" applyFont="1"/>
    <xf numFmtId="0" fontId="0" fillId="4" borderId="1" xfId="0" applyFill="1" applyBorder="1"/>
    <xf numFmtId="9" fontId="0" fillId="0" borderId="0" xfId="0" applyNumberFormat="1"/>
    <xf numFmtId="0" fontId="2" fillId="0" borderId="0" xfId="0" applyFont="1"/>
    <xf numFmtId="0" fontId="0" fillId="5" borderId="0" xfId="0" applyFill="1"/>
    <xf numFmtId="10" fontId="0" fillId="5" borderId="0" xfId="0" applyNumberFormat="1" applyFill="1"/>
    <xf numFmtId="164" fontId="0" fillId="0" borderId="0" xfId="1" applyNumberFormat="1" applyFont="1"/>
    <xf numFmtId="164" fontId="0" fillId="5" borderId="0" xfId="1" applyNumberFormat="1" applyFont="1" applyFill="1"/>
    <xf numFmtId="164" fontId="0" fillId="3" borderId="0" xfId="1" applyNumberFormat="1" applyFont="1" applyFill="1"/>
    <xf numFmtId="164" fontId="0" fillId="0" borderId="0" xfId="0" applyNumberFormat="1"/>
    <xf numFmtId="164" fontId="0" fillId="4" borderId="2" xfId="0" applyNumberFormat="1" applyFill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Normal="100" workbookViewId="0">
      <selection activeCell="B35" sqref="B35"/>
    </sheetView>
  </sheetViews>
  <sheetFormatPr baseColWidth="10" defaultColWidth="9.140625" defaultRowHeight="15" x14ac:dyDescent="0.25"/>
  <cols>
    <col min="1" max="1" width="32.140625" bestFit="1" customWidth="1"/>
    <col min="2" max="7" width="14.7109375" bestFit="1" customWidth="1"/>
    <col min="10" max="10" width="11.85546875" customWidth="1"/>
    <col min="11" max="11" width="17.28515625" bestFit="1" customWidth="1"/>
  </cols>
  <sheetData>
    <row r="1" spans="1:7" ht="21" x14ac:dyDescent="0.35">
      <c r="A1" s="6" t="s">
        <v>8</v>
      </c>
    </row>
    <row r="2" spans="1:7" x14ac:dyDescent="0.25">
      <c r="A2" t="s">
        <v>6</v>
      </c>
      <c r="B2" s="5">
        <v>0.1</v>
      </c>
    </row>
    <row r="3" spans="1:7" x14ac:dyDescent="0.25">
      <c r="B3" s="5"/>
    </row>
    <row r="4" spans="1:7" x14ac:dyDescent="0.25">
      <c r="A4" t="s">
        <v>20</v>
      </c>
      <c r="B4" s="5"/>
      <c r="C4">
        <v>10</v>
      </c>
      <c r="D4">
        <v>15</v>
      </c>
      <c r="E4">
        <v>25</v>
      </c>
      <c r="F4">
        <v>31</v>
      </c>
      <c r="G4">
        <v>40</v>
      </c>
    </row>
    <row r="5" spans="1:7" x14ac:dyDescent="0.25">
      <c r="A5" s="1" t="s">
        <v>0</v>
      </c>
      <c r="B5" s="1">
        <v>0</v>
      </c>
      <c r="C5" s="1">
        <v>1</v>
      </c>
      <c r="D5" s="1">
        <v>2</v>
      </c>
      <c r="E5" s="1">
        <v>3</v>
      </c>
      <c r="F5" s="1">
        <v>4</v>
      </c>
      <c r="G5" s="1">
        <v>5</v>
      </c>
    </row>
    <row r="6" spans="1:7" x14ac:dyDescent="0.25">
      <c r="A6" t="s">
        <v>1</v>
      </c>
      <c r="B6" s="9"/>
      <c r="C6" s="9">
        <f>600*C4</f>
        <v>6000</v>
      </c>
      <c r="D6" s="9">
        <f t="shared" ref="D6:G6" si="0">600*D4</f>
        <v>9000</v>
      </c>
      <c r="E6" s="9">
        <f t="shared" si="0"/>
        <v>15000</v>
      </c>
      <c r="F6" s="9">
        <f t="shared" si="0"/>
        <v>18600</v>
      </c>
      <c r="G6" s="9">
        <f t="shared" si="0"/>
        <v>24000</v>
      </c>
    </row>
    <row r="7" spans="1:7" x14ac:dyDescent="0.25">
      <c r="A7" t="s">
        <v>14</v>
      </c>
      <c r="B7" s="9"/>
      <c r="C7" s="9">
        <v>-60</v>
      </c>
      <c r="D7" s="9">
        <v>-80</v>
      </c>
      <c r="E7" s="9">
        <v>-90</v>
      </c>
      <c r="F7" s="9">
        <v>-100</v>
      </c>
      <c r="G7" s="9">
        <v>-100</v>
      </c>
    </row>
    <row r="8" spans="1:7" x14ac:dyDescent="0.25">
      <c r="A8" t="s">
        <v>21</v>
      </c>
      <c r="B8" s="9"/>
      <c r="C8" s="9">
        <v>-59.88</v>
      </c>
      <c r="D8" s="9">
        <v>-183.87</v>
      </c>
      <c r="E8" s="9">
        <v>-183.87</v>
      </c>
      <c r="F8" s="9">
        <v>-183.87</v>
      </c>
      <c r="G8" s="9">
        <v>-183.87</v>
      </c>
    </row>
    <row r="9" spans="1:7" x14ac:dyDescent="0.25">
      <c r="A9" t="s">
        <v>15</v>
      </c>
      <c r="B9" s="9"/>
      <c r="C9" s="9">
        <v>-400</v>
      </c>
      <c r="D9" s="9">
        <v>-400</v>
      </c>
      <c r="E9" s="9">
        <v>-400</v>
      </c>
      <c r="F9" s="9">
        <v>-400</v>
      </c>
      <c r="G9" s="9">
        <v>-400</v>
      </c>
    </row>
    <row r="10" spans="1:7" x14ac:dyDescent="0.25">
      <c r="A10" t="s">
        <v>16</v>
      </c>
      <c r="B10" s="9"/>
      <c r="C10" s="9">
        <v>-4800</v>
      </c>
      <c r="D10" s="9">
        <v>-4800</v>
      </c>
      <c r="E10" s="9">
        <v>-4800</v>
      </c>
      <c r="F10" s="9">
        <v>-4800</v>
      </c>
      <c r="G10" s="9">
        <v>-4800</v>
      </c>
    </row>
    <row r="11" spans="1:7" x14ac:dyDescent="0.25">
      <c r="A11" t="s">
        <v>17</v>
      </c>
      <c r="B11" s="9"/>
      <c r="C11" s="9">
        <v>-400</v>
      </c>
      <c r="D11" s="9">
        <v>-400</v>
      </c>
      <c r="E11" s="9">
        <v>-400</v>
      </c>
      <c r="F11" s="9">
        <v>-400</v>
      </c>
      <c r="G11" s="9">
        <v>-400</v>
      </c>
    </row>
    <row r="12" spans="1:7" x14ac:dyDescent="0.25">
      <c r="A12" s="7" t="s">
        <v>2</v>
      </c>
      <c r="B12" s="10"/>
      <c r="C12" s="10">
        <f>SUM(C6:C11)</f>
        <v>280.11999999999989</v>
      </c>
      <c r="D12" s="10">
        <f>SUM(D6:D11)</f>
        <v>3136.1299999999992</v>
      </c>
      <c r="E12" s="10">
        <f>SUM(E6:E11)</f>
        <v>9126.1299999999992</v>
      </c>
      <c r="F12" s="10">
        <f>SUM(F6:F11)</f>
        <v>12716.130000000001</v>
      </c>
      <c r="G12" s="10">
        <f>SUM(G6:G11)</f>
        <v>18116.13</v>
      </c>
    </row>
    <row r="13" spans="1:7" x14ac:dyDescent="0.25">
      <c r="A13" t="s">
        <v>13</v>
      </c>
      <c r="B13" s="9"/>
      <c r="C13" s="9">
        <f>-C12*0.35</f>
        <v>-98.041999999999959</v>
      </c>
      <c r="D13" s="9">
        <f t="shared" ref="D13:G13" si="1">-D12*0.35</f>
        <v>-1097.6454999999996</v>
      </c>
      <c r="E13" s="9">
        <f t="shared" si="1"/>
        <v>-3194.1454999999996</v>
      </c>
      <c r="F13" s="9">
        <f t="shared" si="1"/>
        <v>-4450.6454999999996</v>
      </c>
      <c r="G13" s="9">
        <f t="shared" si="1"/>
        <v>-6340.6454999999996</v>
      </c>
    </row>
    <row r="14" spans="1:7" x14ac:dyDescent="0.25">
      <c r="A14" s="7" t="s">
        <v>3</v>
      </c>
      <c r="B14" s="10"/>
      <c r="C14" s="10">
        <f>+C12+C13</f>
        <v>182.07799999999992</v>
      </c>
      <c r="D14" s="10">
        <f t="shared" ref="D14:G14" si="2">+D12+D13</f>
        <v>2038.4844999999996</v>
      </c>
      <c r="E14" s="10">
        <f t="shared" si="2"/>
        <v>5931.9844999999996</v>
      </c>
      <c r="F14" s="10">
        <f t="shared" si="2"/>
        <v>8265.4845000000023</v>
      </c>
      <c r="G14" s="10">
        <f t="shared" si="2"/>
        <v>11775.484500000002</v>
      </c>
    </row>
    <row r="15" spans="1:7" x14ac:dyDescent="0.25">
      <c r="A15" t="s">
        <v>19</v>
      </c>
      <c r="B15" s="9">
        <v>-2000</v>
      </c>
      <c r="C15" s="9"/>
      <c r="D15" s="9"/>
      <c r="E15" s="9"/>
      <c r="F15" s="9"/>
      <c r="G15" s="9"/>
    </row>
    <row r="16" spans="1:7" x14ac:dyDescent="0.25">
      <c r="A16" t="s">
        <v>18</v>
      </c>
      <c r="B16" s="9">
        <v>-45</v>
      </c>
      <c r="C16" s="9"/>
      <c r="D16" s="9"/>
      <c r="E16" s="9"/>
      <c r="F16" s="9"/>
      <c r="G16" s="9"/>
    </row>
    <row r="17" spans="1:11" x14ac:dyDescent="0.25">
      <c r="A17" s="2" t="s">
        <v>4</v>
      </c>
      <c r="B17" s="11">
        <f t="shared" ref="B17:G17" si="3">SUM(B14:B16)</f>
        <v>-2045</v>
      </c>
      <c r="C17" s="11">
        <f t="shared" si="3"/>
        <v>182.07799999999992</v>
      </c>
      <c r="D17" s="11">
        <f t="shared" si="3"/>
        <v>2038.4844999999996</v>
      </c>
      <c r="E17" s="11">
        <f t="shared" si="3"/>
        <v>5931.9844999999996</v>
      </c>
      <c r="F17" s="11">
        <f t="shared" si="3"/>
        <v>8265.4845000000023</v>
      </c>
      <c r="G17" s="11">
        <f t="shared" si="3"/>
        <v>11775.484500000002</v>
      </c>
      <c r="I17" s="5"/>
    </row>
    <row r="18" spans="1:11" ht="15.75" thickBot="1" x14ac:dyDescent="0.3">
      <c r="B18" s="12"/>
      <c r="C18" s="12"/>
      <c r="D18" s="12"/>
      <c r="E18" s="12"/>
      <c r="F18" s="12"/>
      <c r="G18" s="12"/>
    </row>
    <row r="19" spans="1:11" ht="15.75" thickBot="1" x14ac:dyDescent="0.3">
      <c r="A19" s="4" t="s">
        <v>5</v>
      </c>
      <c r="B19" s="13">
        <f>NPV(B2,C17:G17)+B17</f>
        <v>17219.097686012501</v>
      </c>
      <c r="C19" s="12"/>
      <c r="D19" s="12"/>
      <c r="E19" s="12"/>
      <c r="F19" s="12"/>
      <c r="G19" s="12"/>
      <c r="J19" s="14" t="s">
        <v>9</v>
      </c>
      <c r="K19" s="14" t="s">
        <v>4</v>
      </c>
    </row>
    <row r="20" spans="1:11" x14ac:dyDescent="0.25">
      <c r="J20" s="14">
        <v>0</v>
      </c>
      <c r="K20" s="15">
        <f>B$17</f>
        <v>-2045</v>
      </c>
    </row>
    <row r="21" spans="1:11" x14ac:dyDescent="0.25">
      <c r="A21" s="7" t="s">
        <v>7</v>
      </c>
      <c r="B21" s="8">
        <f>IRR(B17:G17)</f>
        <v>1.0533211382765799</v>
      </c>
      <c r="J21" s="14">
        <v>1</v>
      </c>
      <c r="K21" s="15">
        <f>C$17</f>
        <v>182.07799999999992</v>
      </c>
    </row>
    <row r="22" spans="1:11" x14ac:dyDescent="0.25">
      <c r="J22" s="14">
        <v>2</v>
      </c>
      <c r="K22" s="15">
        <f>D$17</f>
        <v>2038.4844999999996</v>
      </c>
    </row>
    <row r="23" spans="1:11" x14ac:dyDescent="0.25">
      <c r="J23" s="14">
        <v>3</v>
      </c>
      <c r="K23" s="15">
        <f>E$17</f>
        <v>5931.9844999999996</v>
      </c>
    </row>
    <row r="24" spans="1:11" x14ac:dyDescent="0.25">
      <c r="B24" t="s">
        <v>22</v>
      </c>
      <c r="J24" s="14">
        <v>4</v>
      </c>
      <c r="K24" s="15">
        <f>F$17</f>
        <v>8265.4845000000023</v>
      </c>
    </row>
    <row r="25" spans="1:11" x14ac:dyDescent="0.25">
      <c r="B25" t="s">
        <v>9</v>
      </c>
      <c r="C25" t="s">
        <v>11</v>
      </c>
      <c r="D25" t="s">
        <v>12</v>
      </c>
      <c r="E25" t="s">
        <v>10</v>
      </c>
      <c r="J25" s="14">
        <v>5</v>
      </c>
      <c r="K25" s="15">
        <f>G$17</f>
        <v>11775.484500000002</v>
      </c>
    </row>
    <row r="26" spans="1:11" x14ac:dyDescent="0.25">
      <c r="B26">
        <v>1</v>
      </c>
      <c r="C26" s="9">
        <f>$B$17*-1</f>
        <v>2045</v>
      </c>
      <c r="D26" s="9">
        <f>C26*$B$2</f>
        <v>204.5</v>
      </c>
      <c r="E26" s="9">
        <f>$C$17</f>
        <v>182.07799999999992</v>
      </c>
      <c r="F26" s="3"/>
      <c r="J26" s="14" t="s">
        <v>7</v>
      </c>
      <c r="K26" s="5">
        <f>IRR(B17:G17)</f>
        <v>1.0533211382765799</v>
      </c>
    </row>
    <row r="27" spans="1:11" x14ac:dyDescent="0.25">
      <c r="B27">
        <v>2</v>
      </c>
      <c r="C27" s="9">
        <f>C26+D26-E26</f>
        <v>2067.422</v>
      </c>
      <c r="D27" s="9">
        <f>C27*$B$2</f>
        <v>206.74220000000003</v>
      </c>
      <c r="E27" s="9">
        <f>$D$17</f>
        <v>2038.4844999999996</v>
      </c>
      <c r="F27" s="3"/>
    </row>
    <row r="28" spans="1:11" x14ac:dyDescent="0.25">
      <c r="B28">
        <v>3</v>
      </c>
      <c r="C28" s="9">
        <f t="shared" ref="C28:C31" si="4">C27+D27-E27</f>
        <v>235.67970000000059</v>
      </c>
      <c r="D28" s="9">
        <f t="shared" ref="D28:D30" si="5">C28*$B$2</f>
        <v>23.567970000000059</v>
      </c>
      <c r="E28" s="9">
        <f>$E$17</f>
        <v>5931.9844999999996</v>
      </c>
      <c r="F28" s="3"/>
    </row>
    <row r="29" spans="1:11" x14ac:dyDescent="0.25">
      <c r="B29">
        <v>4</v>
      </c>
      <c r="C29" s="9">
        <f t="shared" si="4"/>
        <v>-5672.7368299999989</v>
      </c>
      <c r="D29" s="9">
        <f t="shared" si="5"/>
        <v>-567.27368299999989</v>
      </c>
      <c r="E29" s="9">
        <f>$F$17</f>
        <v>8265.4845000000023</v>
      </c>
      <c r="F29" s="3"/>
    </row>
    <row r="30" spans="1:11" x14ac:dyDescent="0.25">
      <c r="B30">
        <v>5</v>
      </c>
      <c r="C30" s="9">
        <f t="shared" si="4"/>
        <v>-14505.495013000002</v>
      </c>
      <c r="D30" s="9">
        <f t="shared" si="5"/>
        <v>-1450.5495013000002</v>
      </c>
      <c r="E30" s="9">
        <f>$G$17</f>
        <v>11775.484500000002</v>
      </c>
      <c r="F30" s="3"/>
    </row>
    <row r="31" spans="1:11" x14ac:dyDescent="0.25">
      <c r="B31" s="7">
        <v>6</v>
      </c>
      <c r="C31" s="9">
        <f t="shared" si="4"/>
        <v>-27731.529014300002</v>
      </c>
      <c r="D31" s="9"/>
      <c r="E31" s="9"/>
      <c r="F31" s="3"/>
    </row>
    <row r="34" spans="2:5" x14ac:dyDescent="0.25">
      <c r="B34" t="s">
        <v>23</v>
      </c>
    </row>
    <row r="35" spans="2:5" x14ac:dyDescent="0.25">
      <c r="B35" t="s">
        <v>9</v>
      </c>
      <c r="C35" t="s">
        <v>11</v>
      </c>
      <c r="D35" t="s">
        <v>12</v>
      </c>
      <c r="E35" t="s">
        <v>10</v>
      </c>
    </row>
    <row r="36" spans="2:5" x14ac:dyDescent="0.25">
      <c r="B36">
        <v>1</v>
      </c>
      <c r="C36" s="9">
        <f>$B$17*-1</f>
        <v>2045</v>
      </c>
      <c r="D36" s="9">
        <f>C36*$B$2</f>
        <v>204.5</v>
      </c>
      <c r="E36" s="9">
        <f>$C$17/(1+$B$2)^B36</f>
        <v>165.52545454545447</v>
      </c>
    </row>
    <row r="37" spans="2:5" x14ac:dyDescent="0.25">
      <c r="B37">
        <v>2</v>
      </c>
      <c r="C37" s="9">
        <f>C36+D36-E36</f>
        <v>2083.9745454545455</v>
      </c>
      <c r="D37" s="9">
        <f>C37*$B$2</f>
        <v>208.39745454545456</v>
      </c>
      <c r="E37" s="9">
        <f>$D$17/(1+$B$2)^B37</f>
        <v>1684.6979338842968</v>
      </c>
    </row>
    <row r="38" spans="2:5" x14ac:dyDescent="0.25">
      <c r="B38">
        <v>3</v>
      </c>
      <c r="C38" s="9">
        <f t="shared" ref="C38:C41" si="6">C37+D37-E37</f>
        <v>607.674066115703</v>
      </c>
      <c r="D38" s="9">
        <f t="shared" ref="D38:D40" si="7">C38*$B$2</f>
        <v>60.767406611570301</v>
      </c>
      <c r="E38" s="9">
        <f>$E$17/(1+$B$2)^B38</f>
        <v>4456.7877535687439</v>
      </c>
    </row>
    <row r="39" spans="2:5" x14ac:dyDescent="0.25">
      <c r="B39">
        <v>4</v>
      </c>
      <c r="C39" s="9">
        <f t="shared" si="6"/>
        <v>-3788.3462808414706</v>
      </c>
      <c r="D39" s="9">
        <f t="shared" si="7"/>
        <v>-378.83462808414708</v>
      </c>
      <c r="E39" s="9">
        <f>$F$17/(1+$B$2)^B39</f>
        <v>5645.4371286114338</v>
      </c>
    </row>
    <row r="40" spans="2:5" x14ac:dyDescent="0.25">
      <c r="B40">
        <v>5</v>
      </c>
      <c r="C40" s="9">
        <f t="shared" si="6"/>
        <v>-9812.6180375370514</v>
      </c>
      <c r="D40" s="9">
        <f t="shared" si="7"/>
        <v>-981.26180375370518</v>
      </c>
      <c r="E40" s="9">
        <f>$G$17/(1+$B$2)^B40</f>
        <v>7311.6494154025731</v>
      </c>
    </row>
    <row r="41" spans="2:5" x14ac:dyDescent="0.25">
      <c r="B41" s="7">
        <v>6</v>
      </c>
      <c r="C41" s="9">
        <f t="shared" si="6"/>
        <v>-18105.529256693328</v>
      </c>
      <c r="D41" s="9"/>
      <c r="E41" s="9"/>
    </row>
  </sheetData>
  <pageMargins left="0.7" right="0.7" top="0.75" bottom="0.75" header="0.3" footer="0.3"/>
  <pageSetup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5BF92D0C8820429170FFD8285EF7D5" ma:contentTypeVersion="11" ma:contentTypeDescription="Crear nuevo documento." ma:contentTypeScope="" ma:versionID="760924a7cb50eaf608daa64388cac4e0">
  <xsd:schema xmlns:xsd="http://www.w3.org/2001/XMLSchema" xmlns:xs="http://www.w3.org/2001/XMLSchema" xmlns:p="http://schemas.microsoft.com/office/2006/metadata/properties" xmlns:ns2="ae341e3b-dc8a-4447-97c7-63e68b1c39d3" xmlns:ns3="74b5a84e-b814-4af1-80c6-5bab739503c4" targetNamespace="http://schemas.microsoft.com/office/2006/metadata/properties" ma:root="true" ma:fieldsID="a5fab6553dda0bc18a25a143b436ff5e" ns2:_="" ns3:_="">
    <xsd:import namespace="ae341e3b-dc8a-4447-97c7-63e68b1c39d3"/>
    <xsd:import namespace="74b5a84e-b814-4af1-80c6-5bab73950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41e3b-dc8a-4447-97c7-63e68b1c3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b05fb4c-569a-4f6e-aa33-32bacf3077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5a84e-b814-4af1-80c6-5bab73950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d4eac5-839e-490e-8b8e-26826d8bf680}" ma:internalName="TaxCatchAll" ma:showField="CatchAllData" ma:web="74b5a84e-b814-4af1-80c6-5bab73950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341e3b-dc8a-4447-97c7-63e68b1c39d3">
      <Terms xmlns="http://schemas.microsoft.com/office/infopath/2007/PartnerControls"/>
    </lcf76f155ced4ddcb4097134ff3c332f>
    <TaxCatchAll xmlns="74b5a84e-b814-4af1-80c6-5bab739503c4" xsi:nil="true"/>
  </documentManagement>
</p:properties>
</file>

<file path=customXml/itemProps1.xml><?xml version="1.0" encoding="utf-8"?>
<ds:datastoreItem xmlns:ds="http://schemas.openxmlformats.org/officeDocument/2006/customXml" ds:itemID="{D060D3E3-EE7D-4593-998C-5C0C1465761D}"/>
</file>

<file path=customXml/itemProps2.xml><?xml version="1.0" encoding="utf-8"?>
<ds:datastoreItem xmlns:ds="http://schemas.openxmlformats.org/officeDocument/2006/customXml" ds:itemID="{4B1E3DA8-9419-4769-96E8-22ABB8D17753}"/>
</file>

<file path=customXml/itemProps3.xml><?xml version="1.0" encoding="utf-8"?>
<ds:datastoreItem xmlns:ds="http://schemas.openxmlformats.org/officeDocument/2006/customXml" ds:itemID="{06EC7988-352A-4758-A748-7AB965B2D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Luciano Morán Martin</cp:lastModifiedBy>
  <dcterms:created xsi:type="dcterms:W3CDTF">2017-04-08T13:58:32Z</dcterms:created>
  <dcterms:modified xsi:type="dcterms:W3CDTF">2024-06-13T19:38:27Z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0x010100205BF92D0C8820429170FFD8285EF7D5</vt:lpwstr>
  </property>
</Properties>
</file>